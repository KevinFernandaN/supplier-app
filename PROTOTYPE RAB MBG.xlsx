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TOTYPE DATA MBG\"/>
    </mc:Choice>
  </mc:AlternateContent>
  <xr:revisionPtr revIDLastSave="0" documentId="13_ncr:1_{9DDFC518-29F5-4136-B59B-1029839BC81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O" sheetId="5" r:id="rId1"/>
    <sheet name="RAB" sheetId="2" r:id="rId2"/>
    <sheet name="MASTER BARANG" sheetId="3" r:id="rId3"/>
  </sheets>
  <definedNames>
    <definedName name="list_bahan">MASTER_BARANG[BAHAN]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K5" i="2"/>
  <c r="L5" i="2"/>
  <c r="M5" i="2"/>
  <c r="N5" i="2"/>
  <c r="E4" i="2"/>
  <c r="K4" i="2"/>
  <c r="L4" i="2"/>
  <c r="M4" i="2"/>
  <c r="N4" i="2"/>
  <c r="E3" i="2"/>
  <c r="E2" i="2"/>
  <c r="K3" i="2"/>
  <c r="L3" i="2"/>
  <c r="M3" i="2"/>
  <c r="N3" i="2"/>
  <c r="N2" i="2"/>
  <c r="M2" i="2"/>
  <c r="L2" i="2"/>
  <c r="K2" i="2"/>
  <c r="O5" i="2" l="1"/>
  <c r="Q5" i="2" s="1"/>
  <c r="P5" i="2"/>
  <c r="O4" i="2"/>
  <c r="P4" i="2" s="1"/>
  <c r="L6" i="2"/>
  <c r="K6" i="2"/>
  <c r="O3" i="2"/>
  <c r="P3" i="2" s="1"/>
  <c r="O2" i="2"/>
  <c r="P2" i="2" s="1"/>
  <c r="Q4" i="2" l="1"/>
  <c r="Q3" i="2"/>
  <c r="Q2" i="2"/>
  <c r="Q6" i="2" l="1"/>
</calcChain>
</file>

<file path=xl/sharedStrings.xml><?xml version="1.0" encoding="utf-8"?>
<sst xmlns="http://schemas.openxmlformats.org/spreadsheetml/2006/main" count="57" uniqueCount="47">
  <si>
    <t>HARI</t>
  </si>
  <si>
    <t>JENIS BAHAN</t>
  </si>
  <si>
    <t>MENU</t>
  </si>
  <si>
    <t>BAHAN</t>
  </si>
  <si>
    <t>HARGA SATUAN</t>
  </si>
  <si>
    <t>JML PK</t>
  </si>
  <si>
    <t>JML PB</t>
  </si>
  <si>
    <t>ROUND</t>
  </si>
  <si>
    <t>TOTAL HARGA</t>
  </si>
  <si>
    <t>RAB</t>
  </si>
  <si>
    <t>NOTA</t>
  </si>
  <si>
    <t>Total</t>
  </si>
  <si>
    <t>GRAMASI PK</t>
  </si>
  <si>
    <t>GRAMASI PB</t>
  </si>
  <si>
    <t>KEBUTUHAN PK</t>
  </si>
  <si>
    <t>KEBUTUHAN PB</t>
  </si>
  <si>
    <t>SENIN</t>
  </si>
  <si>
    <t>KARBO</t>
  </si>
  <si>
    <t>NASI</t>
  </si>
  <si>
    <t>WAROK BIRU</t>
  </si>
  <si>
    <t>TOTAL KEBUTUHAN</t>
  </si>
  <si>
    <t>note:</t>
  </si>
  <si>
    <t>RFC</t>
  </si>
  <si>
    <t>RAW FOOD COST</t>
  </si>
  <si>
    <t>RFC PK</t>
  </si>
  <si>
    <t>RFC PB</t>
  </si>
  <si>
    <t>Alergen</t>
  </si>
  <si>
    <t>BIHUN</t>
  </si>
  <si>
    <t>SATUAN</t>
  </si>
  <si>
    <t>KETERANGAN</t>
  </si>
  <si>
    <t>SATUAN BELI</t>
  </si>
  <si>
    <t>per karung/kg</t>
  </si>
  <si>
    <t>minimal 500gr</t>
  </si>
  <si>
    <t>MERICA LADAKU</t>
  </si>
  <si>
    <t>sachet 50gr</t>
  </si>
  <si>
    <t>MICIN AJINAMOTO</t>
  </si>
  <si>
    <t>pack 100gr</t>
  </si>
  <si>
    <t>ROYCO SAPI</t>
  </si>
  <si>
    <t>sachet 230gr</t>
  </si>
  <si>
    <t>TELOR AYAM</t>
  </si>
  <si>
    <t>tray isi 30</t>
  </si>
  <si>
    <t>TAHU PUTIH KOTAK</t>
  </si>
  <si>
    <t>pcs</t>
  </si>
  <si>
    <t>Grand Total</t>
  </si>
  <si>
    <t>BAHAN BAKU</t>
  </si>
  <si>
    <t>TOTAL ORDER</t>
  </si>
  <si>
    <t xml:space="preserve">TABEL PURCHASE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</si>
</sst>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\ #,##0" x16r2:formatCode16="[$Rp-jv-Java-ID]\ #,##0"/>
    <numFmt numFmtId="165" formatCode="[$Rp]\ #,##0.00" x16r2:formatCode16="[$Rp-jv-Java-I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65" formatCode="[$Rp]\ #,##0.00" x16r2:formatCode16="[$Rp-jv-Java-ID]\ #,##0.00"/>
    </dxf>
    <dxf>
      <numFmt numFmtId="165" formatCode="[$Rp]\ #,##0.00" x16r2:formatCode16="[$Rp-jv-Java-ID]\ #,##0.00"/>
    </dxf>
    <dxf>
      <numFmt numFmtId="165" formatCode="[$Rp]\ #,##0.00" x16r2:formatCode16="[$Rp-jv-Java-ID]\ #,##0.00"/>
    </dxf>
    <dxf>
      <numFmt numFmtId="2" formatCode="0.00"/>
    </dxf>
    <dxf>
      <alignment horizontal="general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148.730157407408" createdVersion="8" refreshedVersion="8" minRefreshableVersion="3" recordCount="3" xr:uid="{7C17F8E7-A1A5-4D06-B98D-3FF22EBDE16A}">
  <cacheSource type="worksheet">
    <worksheetSource name="RAB"/>
  </cacheSource>
  <cacheFields count="19">
    <cacheField name="HARI" numFmtId="0">
      <sharedItems containsBlank="1"/>
    </cacheField>
    <cacheField name="JENIS BAHAN" numFmtId="0">
      <sharedItems containsBlank="1"/>
    </cacheField>
    <cacheField name="MENU" numFmtId="0">
      <sharedItems/>
    </cacheField>
    <cacheField name="BAHAN" numFmtId="0">
      <sharedItems count="3">
        <s v="WAROK BIRU"/>
        <s v="BIHUN"/>
        <s v="TAHU PUTIH KOTAK"/>
      </sharedItems>
    </cacheField>
    <cacheField name="SATUAN" numFmtId="2">
      <sharedItems containsSemiMixedTypes="0" containsString="0" containsNumber="1" minValue="0.5" maxValue="1"/>
    </cacheField>
    <cacheField name="GRAMASI PK" numFmtId="0">
      <sharedItems containsSemiMixedTypes="0" containsString="0" containsNumber="1" containsInteger="1" minValue="50" maxValue="50"/>
    </cacheField>
    <cacheField name="GRAMASI PB" numFmtId="0">
      <sharedItems containsSemiMixedTypes="0" containsString="0" containsNumber="1" containsInteger="1" minValue="60" maxValue="75"/>
    </cacheField>
    <cacheField name="HARGA SATUAN" numFmtId="164">
      <sharedItems containsSemiMixedTypes="0" containsString="0" containsNumber="1" containsInteger="1" minValue="15500" maxValue="26000"/>
    </cacheField>
    <cacheField name="JML PK" numFmtId="3">
      <sharedItems containsSemiMixedTypes="0" containsString="0" containsNumber="1" containsInteger="1" minValue="1" maxValue="1108"/>
    </cacheField>
    <cacheField name="JML PB" numFmtId="3">
      <sharedItems containsSemiMixedTypes="0" containsString="0" containsNumber="1" containsInteger="1" minValue="2" maxValue="1199"/>
    </cacheField>
    <cacheField name="RFC PK" numFmtId="165">
      <sharedItems containsSemiMixedTypes="0" containsString="0" containsNumber="1" containsInteger="1" minValue="775" maxValue="1300"/>
    </cacheField>
    <cacheField name="RFC PB" numFmtId="165">
      <sharedItems containsSemiMixedTypes="0" containsString="0" containsNumber="1" minValue="1162.5" maxValue="1560"/>
    </cacheField>
    <cacheField name="KEBUTUHAN PK" numFmtId="4">
      <sharedItems containsSemiMixedTypes="0" containsString="0" containsNumber="1" containsInteger="1" minValue="50" maxValue="55400"/>
    </cacheField>
    <cacheField name="KEBUTUHAN PB" numFmtId="4">
      <sharedItems containsSemiMixedTypes="0" containsString="0" containsNumber="1" containsInteger="1" minValue="120" maxValue="89925"/>
    </cacheField>
    <cacheField name="TOTAL KEBUTUHAN" numFmtId="0">
      <sharedItems containsSemiMixedTypes="0" containsString="0" containsNumber="1" minValue="0.17" maxValue="145.32499999999999"/>
    </cacheField>
    <cacheField name="ROUND" numFmtId="0">
      <sharedItems containsSemiMixedTypes="0" containsString="0" containsNumber="1" minValue="0.5" maxValue="146"/>
    </cacheField>
    <cacheField name="TOTAL HARGA" numFmtId="165">
      <sharedItems containsSemiMixedTypes="0" containsString="0" containsNumber="1" minValue="4420" maxValue="2470525"/>
    </cacheField>
    <cacheField name="RAB" numFmtId="164">
      <sharedItems containsNonDate="0" containsString="0" containsBlank="1"/>
    </cacheField>
    <cacheField name="NOTA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ENIN"/>
    <s v="KARBO"/>
    <s v="NASI"/>
    <x v="0"/>
    <n v="1"/>
    <n v="50"/>
    <n v="75"/>
    <n v="15500"/>
    <n v="1108"/>
    <n v="1199"/>
    <n v="775"/>
    <n v="1162.5"/>
    <n v="55400"/>
    <n v="89925"/>
    <n v="145.32499999999999"/>
    <n v="146"/>
    <n v="2252537.5"/>
    <m/>
    <m/>
  </r>
  <r>
    <m/>
    <s v="Alergen"/>
    <s v="BIHUN"/>
    <x v="1"/>
    <n v="0.5"/>
    <n v="50"/>
    <n v="60"/>
    <n v="26000"/>
    <n v="1"/>
    <n v="2"/>
    <n v="1300"/>
    <n v="1560"/>
    <n v="50"/>
    <n v="120"/>
    <n v="0.17"/>
    <n v="0.5"/>
    <n v="4420"/>
    <m/>
    <m/>
  </r>
  <r>
    <m/>
    <m/>
    <s v="TAHU PUTIH KOTAK"/>
    <x v="2"/>
    <n v="1"/>
    <n v="50"/>
    <n v="75"/>
    <n v="17000"/>
    <n v="1108"/>
    <n v="1199"/>
    <n v="850"/>
    <n v="1275"/>
    <n v="55400"/>
    <n v="89925"/>
    <n v="145.32499999999999"/>
    <n v="146"/>
    <n v="24705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0AD00-5B07-4960-B523-4B7B51798A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AHAN BAKU">
  <location ref="A3:B7" firstHeaderRow="1" firstDataRow="1" firstDataCol="1"/>
  <pivotFields count="19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2" showAll="0"/>
    <pivotField showAll="0"/>
    <pivotField showAll="0"/>
    <pivotField numFmtId="164" showAll="0"/>
    <pivotField numFmtId="3" showAll="0"/>
    <pivotField numFmtId="3" showAll="0"/>
    <pivotField numFmtId="165" showAll="0"/>
    <pivotField numFmtId="165" showAll="0"/>
    <pivotField numFmtId="4" showAll="0"/>
    <pivotField numFmtId="4" showAll="0"/>
    <pivotField showAll="0"/>
    <pivotField dataField="1" showAll="0"/>
    <pivotField numFmtId="165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ORDER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BDF1B4-E116-4072-9719-A589AE313EB5}" name="RAB" displayName="RAB" ref="A1:S6" totalsRowCount="1">
  <autoFilter ref="A1:S5" xr:uid="{2CBDF1B4-E116-4072-9719-A589AE313EB5}"/>
  <tableColumns count="19">
    <tableColumn id="1" xr3:uid="{CF0AEC8A-1B1E-472B-8A93-473D27E8D502}" name="HARI" totalsRowLabel="Total"/>
    <tableColumn id="2" xr3:uid="{A3A703FA-9CC4-421E-A569-00A959B65822}" name="JENIS BAHAN"/>
    <tableColumn id="3" xr3:uid="{8295B69F-9059-47FC-8C03-558771B86931}" name="MENU"/>
    <tableColumn id="4" xr3:uid="{437E3228-C091-4DF6-B09D-3C7C6EC8C222}" name="BAHAN"/>
    <tableColumn id="18" xr3:uid="{37C6F1D2-0BB9-4AA0-9EEE-82F8DD527BC8}" name="SATUAN" totalsRowDxfId="3">
      <calculatedColumnFormula>_xlfn.XLOOKUP(RAB[[#This Row],[BAHAN]],MASTER_BARANG[BAHAN],MASTER_BARANG[SATUAN BELI])</calculatedColumnFormula>
    </tableColumn>
    <tableColumn id="5" xr3:uid="{A7336475-F211-4676-B80B-E9893A81170C}" name="GRAMASI PK"/>
    <tableColumn id="6" xr3:uid="{27B6BDBC-5AEC-44DC-9690-1A2F1EB6F4CE}" name="GRAMASI PB"/>
    <tableColumn id="7" xr3:uid="{F61A73F7-9D1E-4030-83B4-28563C8FD8E6}" name="HARGA SATUAN"/>
    <tableColumn id="17" xr3:uid="{F926FA63-3BFD-4FD6-8F04-BE63545890A8}" name="JML PK"/>
    <tableColumn id="19" xr3:uid="{EC14D463-0869-49B4-A1B3-5C8C6D46D00F}" name="JML PB"/>
    <tableColumn id="8" xr3:uid="{9F63EC38-BE5E-474E-B2B7-E7F572D0583A}" name="RFC PK" totalsRowFunction="sum" totalsRowDxfId="2">
      <calculatedColumnFormula>F2*H2/1000</calculatedColumnFormula>
    </tableColumn>
    <tableColumn id="9" xr3:uid="{348998DC-406E-467D-BA45-33DE992E7E9C}" name="RFC PB" totalsRowFunction="sum" totalsRowDxfId="1">
      <calculatedColumnFormula>G2*H2/1000</calculatedColumnFormula>
    </tableColumn>
    <tableColumn id="10" xr3:uid="{1535E86B-0018-4661-90BC-191813EE08F4}" name="KEBUTUHAN PK">
      <calculatedColumnFormula>RAB[[#This Row],[GRAMASI PK]]*RAB[[#This Row],[JML PK]]</calculatedColumnFormula>
    </tableColumn>
    <tableColumn id="11" xr3:uid="{C7AA3D63-1E25-4E30-9F63-8A4906E891C0}" name="KEBUTUHAN PB">
      <calculatedColumnFormula>RAB[[#This Row],[GRAMASI PB]]*RAB[[#This Row],[JML PB]]</calculatedColumnFormula>
    </tableColumn>
    <tableColumn id="12" xr3:uid="{A1D8873C-37CB-4E16-9D1E-EE44A04E8831}" name="TOTAL KEBUTUHAN">
      <calculatedColumnFormula>(RAB[[#This Row],[KEBUTUHAN PK]]+RAB[[#This Row],[KEBUTUHAN PB]])/1000</calculatedColumnFormula>
    </tableColumn>
    <tableColumn id="13" xr3:uid="{06E530A1-54A6-402E-99C9-D230DC6B325A}" name="ROUND">
      <calculatedColumnFormula>CEILING(RAB[[#This Row],[TOTAL KEBUTUHAN]],RAB[[#This Row],[SATUAN]])</calculatedColumnFormula>
    </tableColumn>
    <tableColumn id="14" xr3:uid="{29D9E3AE-CC24-469C-93F4-B8FCA9369B1D}" name="TOTAL HARGA" totalsRowFunction="sum" totalsRowDxfId="0">
      <calculatedColumnFormula>RAB[[#This Row],[TOTAL KEBUTUHAN]]*RAB[[#This Row],[HARGA SATUAN]]</calculatedColumnFormula>
    </tableColumn>
    <tableColumn id="15" xr3:uid="{0BC59B6E-0ADC-4508-85CD-D82307BAF4B4}" name="RAB"/>
    <tableColumn id="16" xr3:uid="{C028D107-02DC-4281-B7B0-8B80C1C882B3}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F8021-C3F3-4B8D-B811-27730A851DB7}" name="MASTER_BARANG" displayName="MASTER_BARANG" ref="A1:C8" totalsRowShown="0">
  <autoFilter ref="A1:C8" xr:uid="{DD4F8021-C3F3-4B8D-B811-27730A851DB7}"/>
  <tableColumns count="3">
    <tableColumn id="1" xr3:uid="{41FA2026-C1D5-4078-92AA-C9C0FE74B1B0}" name="BAHAN" dataDxfId="6"/>
    <tableColumn id="2" xr3:uid="{7C6A3D00-0244-49FC-A370-F670CCD4A769}" name="SATUAN BELI" dataDxfId="5"/>
    <tableColumn id="3" xr3:uid="{2822B5D7-B86C-42CC-814A-EA3155B539BC}" name="KETERANGA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4EE0-CC65-4AE8-8189-EDE005DA94C0}">
  <dimension ref="A1:B7"/>
  <sheetViews>
    <sheetView workbookViewId="0">
      <selection activeCell="C17" sqref="C17"/>
    </sheetView>
  </sheetViews>
  <sheetFormatPr defaultRowHeight="14.5" x14ac:dyDescent="0.35"/>
  <cols>
    <col min="1" max="1" width="17.26953125" bestFit="1" customWidth="1"/>
    <col min="2" max="2" width="13.453125" bestFit="1" customWidth="1"/>
  </cols>
  <sheetData>
    <row r="1" spans="1:2" x14ac:dyDescent="0.35">
      <c r="A1" t="s">
        <v>46</v>
      </c>
    </row>
    <row r="3" spans="1:2" x14ac:dyDescent="0.35">
      <c r="A3" s="13" t="s">
        <v>44</v>
      </c>
      <c r="B3" t="s">
        <v>45</v>
      </c>
    </row>
    <row r="4" spans="1:2" x14ac:dyDescent="0.35">
      <c r="A4" s="14" t="s">
        <v>27</v>
      </c>
      <c r="B4">
        <v>0.5</v>
      </c>
    </row>
    <row r="5" spans="1:2" x14ac:dyDescent="0.35">
      <c r="A5" s="14" t="s">
        <v>41</v>
      </c>
      <c r="B5">
        <v>146</v>
      </c>
    </row>
    <row r="6" spans="1:2" x14ac:dyDescent="0.35">
      <c r="A6" s="14" t="s">
        <v>19</v>
      </c>
      <c r="B6">
        <v>146</v>
      </c>
    </row>
    <row r="7" spans="1:2" x14ac:dyDescent="0.35">
      <c r="A7" s="14" t="s">
        <v>43</v>
      </c>
      <c r="B7">
        <v>292.5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0AD9-9783-499A-BA4B-0C9D2F85B887}">
  <dimension ref="A1:W6"/>
  <sheetViews>
    <sheetView tabSelected="1" zoomScale="69" zoomScaleNormal="115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2" max="2" width="15.6328125" bestFit="1" customWidth="1"/>
    <col min="3" max="4" width="17.54296875" bestFit="1" customWidth="1"/>
    <col min="5" max="5" width="11.7265625" style="12" customWidth="1"/>
    <col min="6" max="7" width="15.26953125" bestFit="1" customWidth="1"/>
    <col min="8" max="8" width="18.08984375" style="2" bestFit="1" customWidth="1"/>
    <col min="9" max="10" width="10.453125" style="3" bestFit="1" customWidth="1"/>
    <col min="11" max="12" width="11.26953125" style="5" bestFit="1" customWidth="1"/>
    <col min="13" max="14" width="18" style="4" bestFit="1" customWidth="1"/>
    <col min="15" max="15" width="20.453125" style="1" customWidth="1"/>
    <col min="16" max="16" width="10.90625" bestFit="1" customWidth="1"/>
    <col min="17" max="17" width="16.36328125" style="5" customWidth="1"/>
    <col min="18" max="18" width="8.7265625" style="2"/>
    <col min="19" max="19" width="9.36328125" style="2" bestFit="1" customWidth="1"/>
    <col min="23" max="23" width="8.7265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s="12" t="s">
        <v>28</v>
      </c>
      <c r="F1" t="s">
        <v>12</v>
      </c>
      <c r="G1" t="s">
        <v>13</v>
      </c>
      <c r="H1" s="2" t="s">
        <v>4</v>
      </c>
      <c r="I1" s="3" t="s">
        <v>5</v>
      </c>
      <c r="J1" s="3" t="s">
        <v>6</v>
      </c>
      <c r="K1" s="5" t="s">
        <v>24</v>
      </c>
      <c r="L1" s="5" t="s">
        <v>25</v>
      </c>
      <c r="M1" s="4" t="s">
        <v>14</v>
      </c>
      <c r="N1" s="4" t="s">
        <v>15</v>
      </c>
      <c r="O1" s="1" t="s">
        <v>20</v>
      </c>
      <c r="P1" t="s">
        <v>7</v>
      </c>
      <c r="Q1" s="5" t="s">
        <v>8</v>
      </c>
      <c r="R1" s="2" t="s">
        <v>9</v>
      </c>
      <c r="S1" s="2" t="s">
        <v>10</v>
      </c>
      <c r="U1" t="s">
        <v>21</v>
      </c>
      <c r="V1" t="s">
        <v>22</v>
      </c>
      <c r="W1" t="s">
        <v>23</v>
      </c>
    </row>
    <row r="2" spans="1:23" x14ac:dyDescent="0.35">
      <c r="A2" t="s">
        <v>16</v>
      </c>
      <c r="B2" t="s">
        <v>17</v>
      </c>
      <c r="C2" t="s">
        <v>18</v>
      </c>
      <c r="D2" t="s">
        <v>19</v>
      </c>
      <c r="E2" s="12">
        <f>_xlfn.XLOOKUP(RAB[[#This Row],[BAHAN]],MASTER_BARANG[BAHAN],MASTER_BARANG[SATUAN BELI])</f>
        <v>1</v>
      </c>
      <c r="F2">
        <v>50</v>
      </c>
      <c r="G2">
        <v>75</v>
      </c>
      <c r="H2" s="2">
        <v>15500</v>
      </c>
      <c r="I2" s="3">
        <v>1108</v>
      </c>
      <c r="J2" s="3">
        <v>1199</v>
      </c>
      <c r="K2" s="5">
        <f>F2*H2/1000</f>
        <v>775</v>
      </c>
      <c r="L2" s="5">
        <f>G2*H2/1000</f>
        <v>1162.5</v>
      </c>
      <c r="M2" s="4">
        <f>RAB[[#This Row],[GRAMASI PK]]*RAB[[#This Row],[JML PK]]</f>
        <v>55400</v>
      </c>
      <c r="N2" s="4">
        <f>RAB[[#This Row],[GRAMASI PB]]*RAB[[#This Row],[JML PB]]</f>
        <v>89925</v>
      </c>
      <c r="O2">
        <f>(RAB[[#This Row],[KEBUTUHAN PK]]+RAB[[#This Row],[KEBUTUHAN PB]])/1000</f>
        <v>145.32499999999999</v>
      </c>
      <c r="P2">
        <f>CEILING(RAB[[#This Row],[TOTAL KEBUTUHAN]],RAB[[#This Row],[SATUAN]])</f>
        <v>146</v>
      </c>
      <c r="Q2" s="5">
        <f>RAB[[#This Row],[TOTAL KEBUTUHAN]]*RAB[[#This Row],[HARGA SATUAN]]</f>
        <v>2252537.5</v>
      </c>
    </row>
    <row r="3" spans="1:23" x14ac:dyDescent="0.35">
      <c r="B3" t="s">
        <v>26</v>
      </c>
      <c r="C3" t="s">
        <v>27</v>
      </c>
      <c r="D3" t="s">
        <v>27</v>
      </c>
      <c r="E3" s="12">
        <f>_xlfn.XLOOKUP(RAB[[#This Row],[BAHAN]],MASTER_BARANG[BAHAN],MASTER_BARANG[SATUAN BELI])</f>
        <v>0.5</v>
      </c>
      <c r="F3">
        <v>50</v>
      </c>
      <c r="G3">
        <v>60</v>
      </c>
      <c r="H3" s="2">
        <v>26000</v>
      </c>
      <c r="I3" s="3">
        <v>1</v>
      </c>
      <c r="J3" s="3">
        <v>2</v>
      </c>
      <c r="K3" s="5">
        <f>F3*H3/1000</f>
        <v>1300</v>
      </c>
      <c r="L3" s="5">
        <f>G3*H3/1000</f>
        <v>1560</v>
      </c>
      <c r="M3" s="4">
        <f>RAB[[#This Row],[GRAMASI PK]]*RAB[[#This Row],[JML PK]]</f>
        <v>50</v>
      </c>
      <c r="N3" s="4">
        <f>RAB[[#This Row],[GRAMASI PB]]*RAB[[#This Row],[JML PB]]</f>
        <v>120</v>
      </c>
      <c r="O3">
        <f>(RAB[[#This Row],[KEBUTUHAN PK]]+RAB[[#This Row],[KEBUTUHAN PB]])/1000</f>
        <v>0.17</v>
      </c>
      <c r="P3">
        <f>CEILING(RAB[[#This Row],[TOTAL KEBUTUHAN]],RAB[[#This Row],[SATUAN]])</f>
        <v>0.5</v>
      </c>
      <c r="Q3" s="5">
        <f>RAB[[#This Row],[TOTAL KEBUTUHAN]]*RAB[[#This Row],[HARGA SATUAN]]</f>
        <v>4420</v>
      </c>
    </row>
    <row r="4" spans="1:23" x14ac:dyDescent="0.35">
      <c r="C4" t="s">
        <v>41</v>
      </c>
      <c r="D4" t="s">
        <v>41</v>
      </c>
      <c r="E4" s="12">
        <f>_xlfn.XLOOKUP(RAB[[#This Row],[BAHAN]],MASTER_BARANG[BAHAN],MASTER_BARANG[SATUAN BELI])</f>
        <v>1</v>
      </c>
      <c r="F4">
        <v>50</v>
      </c>
      <c r="G4">
        <v>75</v>
      </c>
      <c r="H4" s="2">
        <v>17000</v>
      </c>
      <c r="I4" s="3">
        <v>1108</v>
      </c>
      <c r="J4" s="3">
        <v>1199</v>
      </c>
      <c r="K4" s="5">
        <f>F4*H4/1000</f>
        <v>850</v>
      </c>
      <c r="L4" s="5">
        <f>G4*H4/1000</f>
        <v>1275</v>
      </c>
      <c r="M4" s="4">
        <f>RAB[[#This Row],[GRAMASI PK]]*RAB[[#This Row],[JML PK]]</f>
        <v>55400</v>
      </c>
      <c r="N4" s="4">
        <f>RAB[[#This Row],[GRAMASI PB]]*RAB[[#This Row],[JML PB]]</f>
        <v>89925</v>
      </c>
      <c r="O4">
        <f>(RAB[[#This Row],[KEBUTUHAN PK]]+RAB[[#This Row],[KEBUTUHAN PB]])/1000</f>
        <v>145.32499999999999</v>
      </c>
      <c r="P4">
        <f>CEILING(RAB[[#This Row],[TOTAL KEBUTUHAN]],RAB[[#This Row],[SATUAN]])</f>
        <v>146</v>
      </c>
      <c r="Q4" s="5">
        <f>RAB[[#This Row],[TOTAL KEBUTUHAN]]*RAB[[#This Row],[HARGA SATUAN]]</f>
        <v>2470525</v>
      </c>
    </row>
    <row r="5" spans="1:23" x14ac:dyDescent="0.35">
      <c r="D5" t="s">
        <v>35</v>
      </c>
      <c r="E5" s="12">
        <f>_xlfn.XLOOKUP(RAB[[#This Row],[BAHAN]],MASTER_BARANG[BAHAN],MASTER_BARANG[SATUAN BELI])</f>
        <v>0.1</v>
      </c>
      <c r="F5">
        <v>1</v>
      </c>
      <c r="G5">
        <v>1</v>
      </c>
      <c r="H5" s="2">
        <v>2500</v>
      </c>
      <c r="I5" s="3">
        <v>1108</v>
      </c>
      <c r="J5" s="3">
        <v>1199</v>
      </c>
      <c r="K5" s="5">
        <f>F5*H5/1000</f>
        <v>2.5</v>
      </c>
      <c r="L5" s="5">
        <f>G5*H5/1000</f>
        <v>2.5</v>
      </c>
      <c r="M5" s="4">
        <f>RAB[[#This Row],[GRAMASI PK]]*RAB[[#This Row],[JML PK]]</f>
        <v>1108</v>
      </c>
      <c r="N5" s="4">
        <f>RAB[[#This Row],[GRAMASI PB]]*RAB[[#This Row],[JML PB]]</f>
        <v>1199</v>
      </c>
      <c r="O5" s="1">
        <f>(RAB[[#This Row],[KEBUTUHAN PK]]+RAB[[#This Row],[KEBUTUHAN PB]])/1000</f>
        <v>2.3069999999999999</v>
      </c>
      <c r="P5">
        <f>CEILING(RAB[[#This Row],[TOTAL KEBUTUHAN]],RAB[[#This Row],[SATUAN]])</f>
        <v>2.4000000000000004</v>
      </c>
      <c r="Q5" s="5">
        <f>RAB[[#This Row],[TOTAL KEBUTUHAN]]*RAB[[#This Row],[HARGA SATUAN]]</f>
        <v>5767.5</v>
      </c>
    </row>
    <row r="6" spans="1:23" x14ac:dyDescent="0.35">
      <c r="A6" t="s">
        <v>11</v>
      </c>
      <c r="H6"/>
      <c r="I6"/>
      <c r="J6"/>
      <c r="K6" s="5">
        <f>SUBTOTAL(109,RAB[RFC PK])</f>
        <v>2927.5</v>
      </c>
      <c r="L6" s="5">
        <f>SUBTOTAL(109,RAB[RFC PB])</f>
        <v>4000</v>
      </c>
      <c r="M6"/>
      <c r="N6"/>
      <c r="O6"/>
      <c r="Q6" s="5">
        <f>SUBTOTAL(109,RAB[TOTAL HARGA])</f>
        <v>4733250</v>
      </c>
      <c r="R6"/>
      <c r="S6"/>
    </row>
  </sheetData>
  <dataValidations count="1">
    <dataValidation type="list" allowBlank="1" showInputMessage="1" showErrorMessage="1" sqref="D2:D5" xr:uid="{4626533D-75A1-423E-8E01-EC4600D343FC}">
      <formula1>list_bahan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9BAC-4071-4F84-AF4E-299BD4A28241}">
  <dimension ref="A1:C8"/>
  <sheetViews>
    <sheetView workbookViewId="0">
      <selection activeCell="B8" sqref="B8"/>
    </sheetView>
  </sheetViews>
  <sheetFormatPr defaultRowHeight="14.5" x14ac:dyDescent="0.35"/>
  <cols>
    <col min="1" max="1" width="19.36328125" style="6" customWidth="1"/>
    <col min="2" max="2" width="16.08984375" style="11" bestFit="1" customWidth="1"/>
    <col min="3" max="3" width="14.1796875" style="6" customWidth="1"/>
    <col min="4" max="16384" width="8.7265625" style="6"/>
  </cols>
  <sheetData>
    <row r="1" spans="1:3" x14ac:dyDescent="0.35">
      <c r="A1" s="7" t="s">
        <v>3</v>
      </c>
      <c r="B1" s="9" t="s">
        <v>30</v>
      </c>
      <c r="C1" s="7" t="s">
        <v>29</v>
      </c>
    </row>
    <row r="2" spans="1:3" x14ac:dyDescent="0.35">
      <c r="A2" s="8" t="s">
        <v>19</v>
      </c>
      <c r="B2" s="10">
        <v>1</v>
      </c>
      <c r="C2" s="8" t="s">
        <v>31</v>
      </c>
    </row>
    <row r="3" spans="1:3" x14ac:dyDescent="0.35">
      <c r="A3" s="8" t="s">
        <v>27</v>
      </c>
      <c r="B3" s="10">
        <v>0.5</v>
      </c>
      <c r="C3" s="8" t="s">
        <v>32</v>
      </c>
    </row>
    <row r="4" spans="1:3" x14ac:dyDescent="0.35">
      <c r="A4" s="8" t="s">
        <v>33</v>
      </c>
      <c r="B4" s="10">
        <v>0.05</v>
      </c>
      <c r="C4" s="8" t="s">
        <v>34</v>
      </c>
    </row>
    <row r="5" spans="1:3" x14ac:dyDescent="0.35">
      <c r="A5" s="8" t="s">
        <v>35</v>
      </c>
      <c r="B5" s="10">
        <v>0.1</v>
      </c>
      <c r="C5" s="8" t="s">
        <v>36</v>
      </c>
    </row>
    <row r="6" spans="1:3" x14ac:dyDescent="0.35">
      <c r="A6" s="8" t="s">
        <v>37</v>
      </c>
      <c r="B6" s="10">
        <v>0.23</v>
      </c>
      <c r="C6" s="8" t="s">
        <v>38</v>
      </c>
    </row>
    <row r="7" spans="1:3" x14ac:dyDescent="0.35">
      <c r="A7" s="8" t="s">
        <v>39</v>
      </c>
      <c r="B7" s="10">
        <v>30</v>
      </c>
      <c r="C7" s="8" t="s">
        <v>40</v>
      </c>
    </row>
    <row r="8" spans="1:3" x14ac:dyDescent="0.35">
      <c r="A8" s="8" t="s">
        <v>41</v>
      </c>
      <c r="B8" s="10">
        <v>1</v>
      </c>
      <c r="C8" s="8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</vt:lpstr>
      <vt:lpstr>RAB</vt:lpstr>
      <vt:lpstr>MASTER BARANG</vt:lpstr>
      <vt:lpstr>list_bahan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 Sidana</dc:creator>
  <cp:lastModifiedBy>Kop Sidana</cp:lastModifiedBy>
  <dcterms:created xsi:type="dcterms:W3CDTF">2015-06-05T18:17:20Z</dcterms:created>
  <dcterms:modified xsi:type="dcterms:W3CDTF">2026-05-07T10:52:34Z</dcterms:modified>
</cp:coreProperties>
</file>